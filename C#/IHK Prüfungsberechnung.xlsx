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samtbewertung" sheetId="1" state="visible" r:id="rId3"/>
    <sheet name="Doku Präsentation Fachgespräch" sheetId="2" state="visible" r:id="rId4"/>
    <sheet name="Prüfungstei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<sst xmlns="http://schemas.openxmlformats.org/spreadsheetml/2006/main" count="194" uniqueCount="121">
  <si>
    <t xml:space="preserve">Gesamtbewertung      IHK-Abschlussprüfung</t>
  </si>
  <si>
    <t xml:space="preserve">Prüfling:</t>
  </si>
  <si>
    <t xml:space="preserve">Prüflingsnummer:</t>
  </si>
  <si>
    <t xml:space="preserve">Ausbildungsbetrieb:</t>
  </si>
  <si>
    <t xml:space="preserve">Ausbildungsberuf:</t>
  </si>
  <si>
    <t xml:space="preserve">Niederschrift der Abschlussprüfung Teil 2</t>
  </si>
  <si>
    <t xml:space="preserve">§26 Abs.1 der Prüfungsordnung</t>
  </si>
  <si>
    <t xml:space="preserve">Teil 1 der Abschlussprüfung</t>
  </si>
  <si>
    <t xml:space="preserve">Punkte</t>
  </si>
  <si>
    <t xml:space="preserve">Erg. 1</t>
  </si>
  <si>
    <t xml:space="preserve">Erg.1</t>
  </si>
  <si>
    <t xml:space="preserve">/</t>
  </si>
  <si>
    <t xml:space="preserve">Note</t>
  </si>
  <si>
    <t xml:space="preserve">Einrichten eines IT-gestützten Arbeitsplatzes</t>
  </si>
  <si>
    <t xml:space="preserve">X</t>
  </si>
  <si>
    <t xml:space="preserve">=</t>
  </si>
  <si>
    <t xml:space="preserve">Ergebnis Teil 1 der Abschlussprüfung</t>
  </si>
  <si>
    <t xml:space="preserve">Summe Teil 1</t>
  </si>
  <si>
    <t xml:space="preserve">:</t>
  </si>
  <si>
    <t xml:space="preserve">Teil 2 der Abschlussprüfung</t>
  </si>
  <si>
    <t xml:space="preserve">MEpr.</t>
  </si>
  <si>
    <t xml:space="preserve">Erg. 2</t>
  </si>
  <si>
    <t xml:space="preserve">Erg. 3</t>
  </si>
  <si>
    <t xml:space="preserve">Theorie 1</t>
  </si>
  <si>
    <t xml:space="preserve">+</t>
  </si>
  <si>
    <t xml:space="preserve">N</t>
  </si>
  <si>
    <t xml:space="preserve">Theorie 2</t>
  </si>
  <si>
    <t xml:space="preserve">Wirtschaft- und Sozialkunde</t>
  </si>
  <si>
    <t xml:space="preserve">Dokumentation</t>
  </si>
  <si>
    <t xml:space="preserve">Präsentation und Fachgespräch</t>
  </si>
  <si>
    <t xml:space="preserve">Gesamtpunktzahl Betriebliche Projektarbeit</t>
  </si>
  <si>
    <t xml:space="preserve">Summe</t>
  </si>
  <si>
    <t xml:space="preserve">Ergebnis Teil 2 der Abschlussprüfung</t>
  </si>
  <si>
    <t xml:space="preserve">Summe Teil 2</t>
  </si>
  <si>
    <t xml:space="preserve">Gesamtergebnis</t>
  </si>
  <si>
    <t xml:space="preserve">( Summe Teil 1</t>
  </si>
  <si>
    <t xml:space="preserve">):</t>
  </si>
  <si>
    <t xml:space="preserve">Ohne mdl. Ergänzungsprüfung (MEpr = N) ist Erg.2 = Punkte</t>
  </si>
  <si>
    <t xml:space="preserve">100-92 Punkte</t>
  </si>
  <si>
    <t xml:space="preserve">unter 92-81 Punkte</t>
  </si>
  <si>
    <t xml:space="preserve">unter 81-67 Punkte</t>
  </si>
  <si>
    <t xml:space="preserve">unter 67 - 50 Punkte</t>
  </si>
  <si>
    <t xml:space="preserve">unter 50 - 30 Punkte</t>
  </si>
  <si>
    <t xml:space="preserve">unter 30 - 0 Punkte</t>
  </si>
  <si>
    <t xml:space="preserve">Note 1 = sehr gut</t>
  </si>
  <si>
    <t xml:space="preserve">Note 2 = gut</t>
  </si>
  <si>
    <t xml:space="preserve">Note 3 = befriedigend</t>
  </si>
  <si>
    <t xml:space="preserve">Note 4 = ausreichend</t>
  </si>
  <si>
    <t xml:space="preserve">Note 5 = mangelhaft</t>
  </si>
  <si>
    <t xml:space="preserve">Note 6 = ungenügend</t>
  </si>
  <si>
    <t xml:space="preserve">Bewertung von Projektdokumentation, Präsentation und Fachgespräch</t>
  </si>
  <si>
    <t xml:space="preserve">Faktor</t>
  </si>
  <si>
    <t xml:space="preserve">Ergebnis</t>
  </si>
  <si>
    <t xml:space="preserve">Vermerke</t>
  </si>
  <si>
    <t xml:space="preserve">Projektdokumentation</t>
  </si>
  <si>
    <t xml:space="preserve">Projektbeschreibung</t>
  </si>
  <si>
    <t xml:space="preserve">Gesamt-gestaltung</t>
  </si>
  <si>
    <t xml:space="preserve">Inhalt</t>
  </si>
  <si>
    <t xml:space="preserve">Gliederung</t>
  </si>
  <si>
    <t xml:space="preserve">Darstellung</t>
  </si>
  <si>
    <t xml:space="preserve">Form</t>
  </si>
  <si>
    <t xml:space="preserve">Äußere Form, Gestaltung von Text, Tabellen, Grafiken, ...</t>
  </si>
  <si>
    <t xml:space="preserve">Auftragsbeschreibung</t>
  </si>
  <si>
    <t xml:space="preserve">Rahmenbedingungen, Ein- und Ausstiegspunkt, Eigen- und Fremdleistungen, ...</t>
  </si>
  <si>
    <t xml:space="preserve">Durchführung</t>
  </si>
  <si>
    <t xml:space="preserve">Prozessschritte, Vorgehensweise, Entscheidungen, ...</t>
  </si>
  <si>
    <t xml:space="preserve">Ergebnisse</t>
  </si>
  <si>
    <t xml:space="preserve">Soll-Ist-Vergleich, Abweichungen und Anpassungen, Qualitätssicherung</t>
  </si>
  <si>
    <t xml:space="preserve">Kundendokumentation</t>
  </si>
  <si>
    <t xml:space="preserve">Praxisübliche Unterlagen</t>
  </si>
  <si>
    <t xml:space="preserve">Präsentation</t>
  </si>
  <si>
    <t xml:space="preserve">Aufbau und inhaltliche Struktur (sachliche Gliederung, Logik, Zielorientierung)</t>
  </si>
  <si>
    <t xml:space="preserve">Aufgabenstellung und Lösungswege</t>
  </si>
  <si>
    <t xml:space="preserve">Sprachliche Gestaltung
(Ausdrucksweise, Satzbau, Stil)</t>
  </si>
  <si>
    <t xml:space="preserve">Zielgruppengerechte Darstellung
(Medieneinsatz, Visualisierung, Körpersprache)</t>
  </si>
  <si>
    <t xml:space="preserve">Fachgespräch</t>
  </si>
  <si>
    <t xml:space="preserve">Beherrschung der Fachsprache</t>
  </si>
  <si>
    <t xml:space="preserve">Beherrschung der Projektarbeit des für die Projektarbeit relevanten Fachhintergrundes</t>
  </si>
  <si>
    <t xml:space="preserve">Problemerfassung, Problemdarstel-lung und Problemlösung</t>
  </si>
  <si>
    <t xml:space="preserve">Argumentation und Begründung</t>
  </si>
  <si>
    <t xml:space="preserve">(</t>
  </si>
  <si>
    <t xml:space="preserve">)  : 2                                       =</t>
  </si>
  <si>
    <t xml:space="preserve">  Note nur für Präsentation und Fachgespräch</t>
  </si>
  <si>
    <t xml:space="preserve">Beruf</t>
  </si>
  <si>
    <t xml:space="preserve">AP Teil 1 (20%)</t>
  </si>
  <si>
    <t xml:space="preserve">AP Teil 2 (80%)</t>
  </si>
  <si>
    <t xml:space="preserve">Prüfungsbereich 1 (50%) - Projektarbeit </t>
  </si>
  <si>
    <t xml:space="preserve">theoretische Prüfung</t>
  </si>
  <si>
    <t xml:space="preserve">Teil 1 - Doku (50%)</t>
  </si>
  <si>
    <t xml:space="preserve">Teil 2 - Präs/Fachgespräch (50%)</t>
  </si>
  <si>
    <t xml:space="preserve">Prüfungsbereich 2 (10%)</t>
  </si>
  <si>
    <t xml:space="preserve">Prüfungsbereich 3 (10%)</t>
  </si>
  <si>
    <t xml:space="preserve">Prüfungsbereich 4 (10%)</t>
  </si>
  <si>
    <t xml:space="preserve">Fachinformatiker Anwendungsentwicklung</t>
  </si>
  <si>
    <t xml:space="preserve">Planen und Umsetzen eines Softwareprojektes</t>
  </si>
  <si>
    <t xml:space="preserve">Planen eines Softwareproduktes</t>
  </si>
  <si>
    <t xml:space="preserve">Entwicklung und Umsetzung von Algorithmen</t>
  </si>
  <si>
    <t xml:space="preserve">WiSo</t>
  </si>
  <si>
    <t xml:space="preserve">Fachinformatiker Systemintegration</t>
  </si>
  <si>
    <t xml:space="preserve">Planen und Umsetzen eines Projektes der Systemintegration</t>
  </si>
  <si>
    <t xml:space="preserve">Konzeption und Administration
von IT-Systemen</t>
  </si>
  <si>
    <t xml:space="preserve">Analyse und Entwicklung
von Netzwerken</t>
  </si>
  <si>
    <t xml:space="preserve">Fachinformatiker Daten- und Prozessanalyse</t>
  </si>
  <si>
    <t xml:space="preserve">Planen und Durchführen eines Projektes der Datenanalyse</t>
  </si>
  <si>
    <t xml:space="preserve">Durchführen einer Prozessanalyse</t>
  </si>
  <si>
    <t xml:space="preserve">Sicherstellen der Datenqualität</t>
  </si>
  <si>
    <t xml:space="preserve">Fachinformatiker Digitale Vernetzung</t>
  </si>
  <si>
    <t xml:space="preserve">Planen und Umsetzen eines Projektes der digitalen Vernetzung</t>
  </si>
  <si>
    <t xml:space="preserve">Diagnose und Störungsbeseitigung in
vernetzten Systemen</t>
  </si>
  <si>
    <t xml:space="preserve">Betrieb und Erweiterung von vernetzten Systemen</t>
  </si>
  <si>
    <t xml:space="preserve">IT-System-Elektroniker</t>
  </si>
  <si>
    <t xml:space="preserve">Erstellen, Ändern oder Erweitern
von IT-Systemen und von deren
Infrastruktur</t>
  </si>
  <si>
    <t xml:space="preserve">Installation von und Service an
IT-Geräten, IT-Systemen und
IT-Infrastrukturen</t>
  </si>
  <si>
    <t xml:space="preserve">Anbindung von Geräten,
Systemen und Betriebsmitteln
an die Stromversorgung</t>
  </si>
  <si>
    <t xml:space="preserve">Kaufmann für Digitalisierungsmanagement</t>
  </si>
  <si>
    <t xml:space="preserve">Digitale Entwicklung von Prozessen</t>
  </si>
  <si>
    <t xml:space="preserve">Entwicklung eines digitalen Geschäftsmodells</t>
  </si>
  <si>
    <t xml:space="preserve">Kaufmännische Unterstützungsprozesse</t>
  </si>
  <si>
    <t xml:space="preserve">Kaufmann für IT-System-Management</t>
  </si>
  <si>
    <t xml:space="preserve">Abwicklung eines Kundenauftrages</t>
  </si>
  <si>
    <t xml:space="preserve">Einführen einer IT-Systemlösung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</si>
</sst>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General"/>
    <numFmt numFmtId="167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theme="1"/>
      <name val="Calibri"/>
      <family val="2"/>
      <charset val="1"/>
    </font>
    <font>
      <sz val="14"/>
      <color rgb="FFFF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8"/>
      <color theme="1"/>
      <name val="Arial"/>
      <family val="2"/>
      <charset val="1"/>
    </font>
    <font>
      <sz val="16"/>
      <color theme="1"/>
      <name val="Calibri"/>
      <family val="2"/>
      <charset val="1"/>
    </font>
    <font>
      <sz val="9"/>
      <color theme="1"/>
      <name val="Arial"/>
      <family val="2"/>
      <charset val="1"/>
    </font>
    <font>
      <b val="true"/>
      <sz val="16"/>
      <color theme="1"/>
      <name val="Calibri"/>
      <family val="2"/>
      <charset val="1"/>
    </font>
    <font>
      <sz val="9"/>
      <color rgb="FF242021"/>
      <name val="AdvOT35fb1019"/>
      <family val="0"/>
      <charset val="1"/>
    </font>
    <font>
      <sz val="10"/>
      <color rgb="FF242021"/>
      <name val="AdvOT9ae51c1c.B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0.15"/>
        <bgColor rgb="FFD7E4B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5999"/>
        <bgColor rgb="FFD9D9D9"/>
      </patternFill>
    </fill>
    <fill>
      <patternFill patternType="solid">
        <fgColor theme="6" tint="0.5999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/>
      <top/>
      <bottom style="dotted"/>
      <diagonal/>
    </border>
    <border diagonalUp="false" diagonalDown="false">
      <left/>
      <right/>
      <top style="dotted"/>
      <bottom style="dotted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true" diagonalDown="true">
      <left style="thin"/>
      <right style="thin"/>
      <top style="thin"/>
      <bottom style="thin"/>
      <diagonal style="thin"/>
    </border>
    <border diagonalUp="false" diagonalDown="false">
      <left style="medium"/>
      <right style="thin"/>
      <top style="medium"/>
      <bottom style="thin"/>
      <diagonal/>
    </border>
    <border diagonalUp="true" diagonalDown="true">
      <left style="thin"/>
      <right style="thin"/>
      <top style="medium"/>
      <bottom style="thin"/>
      <diagonal style="thin"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true" diagonalDown="true">
      <left style="thin"/>
      <right style="thin"/>
      <top style="thin"/>
      <bottom style="medium"/>
      <diagonal style="thin"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true"/>
    </xf>
    <xf numFmtId="164" fontId="10" fillId="2" borderId="0" xfId="0" applyFont="true" applyBorder="false" applyAlignment="true" applyProtection="true">
      <alignment horizontal="general" vertical="top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general" vertical="top" textRotation="0" wrapText="false" indent="0" shrinkToFit="false"/>
      <protection locked="true" hidden="tru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1" fillId="0" borderId="0" xfId="0" applyFont="true" applyBorder="false" applyAlignment="true" applyProtection="true">
      <alignment horizontal="general" vertical="top" textRotation="0" wrapText="false" indent="0" shrinkToFit="false"/>
      <protection locked="true" hidden="true"/>
    </xf>
    <xf numFmtId="165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6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1" fillId="2" borderId="0" xfId="0" applyFont="true" applyBorder="false" applyAlignment="true" applyProtection="true">
      <alignment horizontal="general" vertical="top" textRotation="0" wrapText="false" indent="0" shrinkToFit="false"/>
      <protection locked="true" hidden="true"/>
    </xf>
    <xf numFmtId="165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left" vertical="center" textRotation="0" wrapText="false" indent="0" shrinkToFit="false"/>
      <protection locked="true" hidden="true"/>
    </xf>
    <xf numFmtId="166" fontId="1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5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5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6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6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6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true"/>
    </xf>
    <xf numFmtId="165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6" fontId="12" fillId="2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12" fillId="2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3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5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4" borderId="0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7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14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90" wrapText="false" indent="0" shrinkToFit="false"/>
      <protection locked="true" hidden="false"/>
    </xf>
    <xf numFmtId="167" fontId="1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7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7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border diagonalUp="false" diagonalDown="false"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diagonal/>
      </border>
    </dxf>
    <dxf>
      <border diagonalUp="false" diagonalDown="false"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diagonal/>
      </border>
    </dxf>
    <dxf>
      <border diagonalUp="false" diagonalDown="false"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diagonal/>
      </border>
    </dxf>
    <dxf>
      <border diagonalUp="false" diagonalDown="false"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diagonal/>
      </border>
    </dxf>
    <dxf>
      <border diagonalUp="false" diagonalDown="false"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diagonal/>
      </border>
    </dxf>
    <dxf>
      <border diagonalUp="false" diagonalDown="false"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diagonal/>
      </border>
    </dxf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E6B9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0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1619280</xdr:colOff>
      <xdr:row>12</xdr:row>
      <xdr:rowOff>158760</xdr:rowOff>
    </xdr:from>
    <xdr:to>
      <xdr:col>1</xdr:col>
      <xdr:colOff>1552320</xdr:colOff>
      <xdr:row>27</xdr:row>
      <xdr:rowOff>40680</xdr:rowOff>
    </xdr:to>
    <xdr:pic>
      <xdr:nvPicPr>
        <xdr:cNvPr id="0" name="Grafik 22" descr=""/>
        <xdr:cNvPicPr/>
      </xdr:nvPicPr>
      <xdr:blipFill>
        <a:blip r:embed="rId1"/>
        <a:stretch/>
      </xdr:blipFill>
      <xdr:spPr>
        <a:xfrm>
          <a:off x="1619280" y="2819520"/>
          <a:ext cx="2490840" cy="2739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12</xdr:row>
      <xdr:rowOff>158760</xdr:rowOff>
    </xdr:from>
    <xdr:to>
      <xdr:col>3</xdr:col>
      <xdr:colOff>1885680</xdr:colOff>
      <xdr:row>29</xdr:row>
      <xdr:rowOff>43560</xdr:rowOff>
    </xdr:to>
    <xdr:pic>
      <xdr:nvPicPr>
        <xdr:cNvPr id="1" name="Grafik 23" descr=""/>
        <xdr:cNvPicPr/>
      </xdr:nvPicPr>
      <xdr:blipFill>
        <a:blip r:embed="rId2"/>
        <a:stretch/>
      </xdr:blipFill>
      <xdr:spPr>
        <a:xfrm>
          <a:off x="4330080" y="2819520"/>
          <a:ext cx="3989880" cy="312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11160</xdr:colOff>
      <xdr:row>46</xdr:row>
      <xdr:rowOff>158760</xdr:rowOff>
    </xdr:from>
    <xdr:to>
      <xdr:col>3</xdr:col>
      <xdr:colOff>1971360</xdr:colOff>
      <xdr:row>67</xdr:row>
      <xdr:rowOff>177120</xdr:rowOff>
    </xdr:to>
    <xdr:pic>
      <xdr:nvPicPr>
        <xdr:cNvPr id="2" name="Grafik 24" descr=""/>
        <xdr:cNvPicPr/>
      </xdr:nvPicPr>
      <xdr:blipFill>
        <a:blip r:embed="rId3"/>
        <a:stretch/>
      </xdr:blipFill>
      <xdr:spPr>
        <a:xfrm>
          <a:off x="4341240" y="9296280"/>
          <a:ext cx="4064400" cy="401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22320</xdr:colOff>
      <xdr:row>68</xdr:row>
      <xdr:rowOff>1800</xdr:rowOff>
    </xdr:from>
    <xdr:to>
      <xdr:col>4</xdr:col>
      <xdr:colOff>9000</xdr:colOff>
      <xdr:row>83</xdr:row>
      <xdr:rowOff>67320</xdr:rowOff>
    </xdr:to>
    <xdr:pic>
      <xdr:nvPicPr>
        <xdr:cNvPr id="3" name="Grafik 25" descr=""/>
        <xdr:cNvPicPr/>
      </xdr:nvPicPr>
      <xdr:blipFill>
        <a:blip r:embed="rId4"/>
        <a:stretch/>
      </xdr:blipFill>
      <xdr:spPr>
        <a:xfrm>
          <a:off x="4352400" y="13330440"/>
          <a:ext cx="4195440" cy="2923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201600</xdr:colOff>
      <xdr:row>29</xdr:row>
      <xdr:rowOff>12960</xdr:rowOff>
    </xdr:from>
    <xdr:to>
      <xdr:col>3</xdr:col>
      <xdr:colOff>1942560</xdr:colOff>
      <xdr:row>42</xdr:row>
      <xdr:rowOff>174600</xdr:rowOff>
    </xdr:to>
    <xdr:pic>
      <xdr:nvPicPr>
        <xdr:cNvPr id="4" name="Grafik 26" descr=""/>
        <xdr:cNvPicPr/>
      </xdr:nvPicPr>
      <xdr:blipFill>
        <a:blip r:embed="rId5"/>
        <a:stretch/>
      </xdr:blipFill>
      <xdr:spPr>
        <a:xfrm>
          <a:off x="4531680" y="5912280"/>
          <a:ext cx="3845160" cy="263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84</xdr:row>
      <xdr:rowOff>158760</xdr:rowOff>
    </xdr:from>
    <xdr:to>
      <xdr:col>3</xdr:col>
      <xdr:colOff>1961640</xdr:colOff>
      <xdr:row>116</xdr:row>
      <xdr:rowOff>5400</xdr:rowOff>
    </xdr:to>
    <xdr:pic>
      <xdr:nvPicPr>
        <xdr:cNvPr id="5" name="Grafik 27" descr=""/>
        <xdr:cNvPicPr/>
      </xdr:nvPicPr>
      <xdr:blipFill>
        <a:blip r:embed="rId6"/>
        <a:stretch/>
      </xdr:blipFill>
      <xdr:spPr>
        <a:xfrm>
          <a:off x="4330080" y="16535520"/>
          <a:ext cx="4065840" cy="594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1669680</xdr:colOff>
      <xdr:row>115</xdr:row>
      <xdr:rowOff>114120</xdr:rowOff>
    </xdr:from>
    <xdr:to>
      <xdr:col>3</xdr:col>
      <xdr:colOff>1980720</xdr:colOff>
      <xdr:row>118</xdr:row>
      <xdr:rowOff>94680</xdr:rowOff>
    </xdr:to>
    <xdr:pic>
      <xdr:nvPicPr>
        <xdr:cNvPr id="6" name="Grafik 28" descr=""/>
        <xdr:cNvPicPr/>
      </xdr:nvPicPr>
      <xdr:blipFill>
        <a:blip r:embed="rId7"/>
        <a:stretch/>
      </xdr:blipFill>
      <xdr:spPr>
        <a:xfrm>
          <a:off x="4227480" y="22396320"/>
          <a:ext cx="4187520" cy="551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"/>
  <sheetViews>
    <sheetView showFormulas="false" showGridLines="false" showRowColHeaders="true" showZeros="true" rightToLeft="false" tabSelected="true" showOutlineSymbols="true" defaultGridColor="true" view="normal" topLeftCell="A8" colorId="64" zoomScale="130" zoomScaleNormal="130" zoomScalePageLayoutView="100" workbookViewId="0">
      <selection pane="topLeft" activeCell="H16" activeCellId="0" sqref="H16:H18"/>
    </sheetView>
  </sheetViews>
  <sheetFormatPr defaultColWidth="11.42578125" defaultRowHeight="15" zeroHeight="false" outlineLevelRow="0" outlineLevelCol="0"/>
  <cols>
    <col collapsed="false" customWidth="false" hidden="false" outlineLevel="0" max="2" min="1" style="1" width="11.43"/>
    <col collapsed="false" customWidth="true" hidden="false" outlineLevel="0" max="3" min="3" style="1" width="13.57"/>
    <col collapsed="false" customWidth="true" hidden="false" outlineLevel="0" max="4" min="4" style="1" width="7.57"/>
    <col collapsed="false" customWidth="true" hidden="false" outlineLevel="0" max="5" min="5" style="2" width="3.57"/>
    <col collapsed="false" customWidth="true" hidden="false" outlineLevel="0" max="6" min="6" style="2" width="5"/>
    <col collapsed="false" customWidth="true" hidden="false" outlineLevel="0" max="7" min="7" style="2" width="3.15"/>
    <col collapsed="false" customWidth="true" hidden="false" outlineLevel="0" max="8" min="8" style="1" width="6.85"/>
    <col collapsed="false" customWidth="true" hidden="false" outlineLevel="0" max="9" min="9" style="1" width="1.85"/>
    <col collapsed="false" customWidth="true" hidden="false" outlineLevel="0" max="10" min="10" style="1" width="8"/>
    <col collapsed="false" customWidth="true" hidden="false" outlineLevel="0" max="11" min="11" style="1" width="1.42"/>
    <col collapsed="false" customWidth="true" hidden="false" outlineLevel="0" max="12" min="12" style="1" width="2.71"/>
    <col collapsed="false" customWidth="true" hidden="false" outlineLevel="0" max="13" min="13" style="1" width="2.29"/>
    <col collapsed="false" customWidth="true" hidden="false" outlineLevel="0" max="14" min="14" style="1" width="8.42"/>
    <col collapsed="false" customWidth="true" hidden="false" outlineLevel="0" max="15" min="15" style="1" width="2"/>
    <col collapsed="false" customWidth="true" hidden="false" outlineLevel="0" max="16" min="16" style="1" width="3.86"/>
    <col collapsed="false" customWidth="true" hidden="false" outlineLevel="0" max="17" min="17" style="1" width="2.42"/>
    <col collapsed="false" customWidth="true" hidden="false" outlineLevel="0" max="18" min="18" style="1" width="8.15"/>
    <col collapsed="false" customWidth="true" hidden="false" outlineLevel="0" max="19" min="19" style="1" width="3.15"/>
    <col collapsed="false" customWidth="true" hidden="false" outlineLevel="0" max="20" min="20" style="1" width="4.42"/>
    <col collapsed="false" customWidth="true" hidden="false" outlineLevel="0" max="21" min="21" style="1" width="8"/>
    <col collapsed="false" customWidth="true" hidden="false" outlineLevel="0" max="22" min="22" style="1" width="2.15"/>
    <col collapsed="false" customWidth="true" hidden="false" outlineLevel="0" max="23" min="23" style="1" width="6.57"/>
    <col collapsed="false" customWidth="false" hidden="false" outlineLevel="0" max="16384" min="24" style="1" width="11.43"/>
  </cols>
  <sheetData>
    <row r="1" customFormat="false" ht="1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customFormat="false" ht="17.35" hidden="false" customHeight="false" outlineLevel="0" collapsed="false">
      <c r="A5" s="5" t="s">
        <v>1</v>
      </c>
      <c r="B5" s="6"/>
      <c r="C5" s="6"/>
      <c r="D5" s="6"/>
      <c r="E5" s="6"/>
      <c r="F5" s="6"/>
      <c r="G5" s="6"/>
      <c r="J5" s="7" t="s">
        <v>2</v>
      </c>
      <c r="O5" s="8"/>
      <c r="P5" s="8"/>
      <c r="Q5" s="8"/>
      <c r="R5" s="8"/>
      <c r="S5" s="8"/>
      <c r="T5" s="8"/>
      <c r="U5" s="8"/>
    </row>
    <row r="7" customFormat="false" ht="17.35" hidden="false" customHeight="false" outlineLevel="0" collapsed="false">
      <c r="A7" s="9" t="s">
        <v>3</v>
      </c>
      <c r="C7" s="8"/>
      <c r="D7" s="8"/>
      <c r="E7" s="8"/>
      <c r="F7" s="8"/>
      <c r="G7" s="8"/>
      <c r="J7" s="9" t="s">
        <v>4</v>
      </c>
      <c r="O7" s="8"/>
      <c r="P7" s="8"/>
      <c r="Q7" s="8"/>
      <c r="R7" s="8"/>
      <c r="S7" s="8"/>
      <c r="T7" s="8"/>
      <c r="U7" s="8"/>
    </row>
    <row r="8" customFormat="false" ht="17.35" hidden="false" customHeight="false" outlineLevel="0" collapsed="false">
      <c r="J8" s="9"/>
    </row>
    <row r="9" customFormat="false" ht="27.75" hidden="false" customHeight="true" outlineLevel="0" collapsed="false">
      <c r="A9" s="10" t="s">
        <v>5</v>
      </c>
      <c r="B9" s="11"/>
      <c r="C9" s="11"/>
      <c r="D9" s="11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customFormat="false" ht="19.5" hidden="false" customHeight="true" outlineLevel="0" collapsed="false">
      <c r="A10" s="13" t="s">
        <v>6</v>
      </c>
    </row>
    <row r="11" customFormat="false" ht="19.5" hidden="false" customHeight="true" outlineLevel="0" collapsed="false">
      <c r="A11" s="14" t="s">
        <v>7</v>
      </c>
      <c r="B11" s="15"/>
      <c r="C11" s="11"/>
      <c r="D11" s="16" t="s">
        <v>8</v>
      </c>
      <c r="E11" s="17"/>
      <c r="F11" s="17"/>
      <c r="G11" s="17"/>
      <c r="H11" s="16" t="s">
        <v>9</v>
      </c>
      <c r="I11" s="18"/>
      <c r="J11" s="16" t="s">
        <v>10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7" t="s">
        <v>8</v>
      </c>
      <c r="V11" s="17" t="s">
        <v>11</v>
      </c>
      <c r="W11" s="17" t="s">
        <v>12</v>
      </c>
    </row>
    <row r="12" customFormat="false" ht="19.5" hidden="false" customHeight="true" outlineLevel="0" collapsed="false">
      <c r="A12" s="19" t="s">
        <v>13</v>
      </c>
      <c r="D12" s="20" t="n">
        <v>60</v>
      </c>
      <c r="E12" s="21" t="s">
        <v>14</v>
      </c>
      <c r="F12" s="22" t="n">
        <v>20</v>
      </c>
      <c r="G12" s="23" t="s">
        <v>15</v>
      </c>
      <c r="H12" s="22" t="n">
        <f aca="false">D12*F12</f>
        <v>1200</v>
      </c>
      <c r="U12" s="22" t="n">
        <f aca="false">U13</f>
        <v>60</v>
      </c>
      <c r="V12" s="24"/>
      <c r="W12" s="25" t="n">
        <f aca="false">IF(U12&gt;=92,1,IF(U12&gt;=81,2,IF(U12&gt;=67,3,IF(U12&gt;=50,4,IF(U12&gt;=30,5,6)))))</f>
        <v>4</v>
      </c>
    </row>
    <row r="13" customFormat="false" ht="19.5" hidden="false" customHeight="true" outlineLevel="0" collapsed="false">
      <c r="A13" s="26" t="s">
        <v>16</v>
      </c>
      <c r="B13" s="11"/>
      <c r="C13" s="11"/>
      <c r="D13" s="18" t="s">
        <v>17</v>
      </c>
      <c r="E13" s="17"/>
      <c r="F13" s="17"/>
      <c r="G13" s="17"/>
      <c r="H13" s="27" t="n">
        <f aca="false">H12</f>
        <v>1200</v>
      </c>
      <c r="I13" s="17" t="s">
        <v>18</v>
      </c>
      <c r="J13" s="28" t="n">
        <v>20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27" t="n">
        <f aca="false">H13/J13</f>
        <v>60</v>
      </c>
      <c r="V13" s="18"/>
      <c r="W13" s="29" t="n">
        <f aca="false">IF(U13&gt;=92,1,IF(U13&gt;=81,2,IF(U13&gt;=67,3,IF(U13&gt;=50,4,IF(U13&gt;=30,5,6)))))</f>
        <v>4</v>
      </c>
    </row>
    <row r="14" customFormat="false" ht="27.75" hidden="false" customHeight="true" outlineLevel="0" collapsed="false"/>
    <row r="15" customFormat="false" ht="19.5" hidden="false" customHeight="true" outlineLevel="0" collapsed="false">
      <c r="A15" s="14" t="s">
        <v>19</v>
      </c>
      <c r="B15" s="11"/>
      <c r="C15" s="11"/>
      <c r="D15" s="16" t="s">
        <v>8</v>
      </c>
      <c r="E15" s="17"/>
      <c r="F15" s="17"/>
      <c r="G15" s="17"/>
      <c r="H15" s="30" t="s">
        <v>20</v>
      </c>
      <c r="I15" s="18"/>
      <c r="J15" s="16" t="s">
        <v>10</v>
      </c>
      <c r="K15" s="18"/>
      <c r="L15" s="18"/>
      <c r="M15" s="18"/>
      <c r="N15" s="16" t="s">
        <v>21</v>
      </c>
      <c r="O15" s="18"/>
      <c r="P15" s="18"/>
      <c r="Q15" s="18"/>
      <c r="R15" s="16" t="s">
        <v>22</v>
      </c>
      <c r="S15" s="18"/>
      <c r="T15" s="18"/>
      <c r="U15" s="17" t="s">
        <v>8</v>
      </c>
      <c r="V15" s="17" t="s">
        <v>11</v>
      </c>
      <c r="W15" s="17" t="s">
        <v>12</v>
      </c>
    </row>
    <row r="16" customFormat="false" ht="19.5" hidden="false" customHeight="true" outlineLevel="0" collapsed="false">
      <c r="A16" s="19" t="s">
        <v>23</v>
      </c>
      <c r="D16" s="20" t="n">
        <v>45</v>
      </c>
      <c r="E16" s="21" t="s">
        <v>14</v>
      </c>
      <c r="F16" s="23" t="n">
        <v>2</v>
      </c>
      <c r="G16" s="23" t="s">
        <v>24</v>
      </c>
      <c r="H16" s="31" t="s">
        <v>25</v>
      </c>
      <c r="I16" s="23" t="s">
        <v>15</v>
      </c>
      <c r="J16" s="32" t="str">
        <f aca="false">IF(H16="N","",D16*F16+H16)</f>
        <v/>
      </c>
      <c r="K16" s="23" t="s">
        <v>18</v>
      </c>
      <c r="L16" s="23" t="n">
        <v>3</v>
      </c>
      <c r="M16" s="23" t="s">
        <v>15</v>
      </c>
      <c r="N16" s="22" t="n">
        <f aca="false">ROUND(IF(H16="N",D16,J16/L16),0)</f>
        <v>45</v>
      </c>
      <c r="O16" s="23" t="s">
        <v>14</v>
      </c>
      <c r="P16" s="23" t="n">
        <v>10</v>
      </c>
      <c r="Q16" s="23" t="s">
        <v>15</v>
      </c>
      <c r="R16" s="22" t="n">
        <f aca="false">N16*10</f>
        <v>450</v>
      </c>
      <c r="S16" s="24"/>
      <c r="T16" s="24"/>
      <c r="U16" s="22" t="n">
        <f aca="false">N16</f>
        <v>45</v>
      </c>
      <c r="V16" s="24"/>
      <c r="W16" s="25" t="n">
        <f aca="false">IF(U16&gt;=92,1,IF(U16&gt;=81,2,IF(U16&gt;=67,3,IF(U16&gt;=50,4,IF(U16&gt;=30,5,6)))))</f>
        <v>5</v>
      </c>
    </row>
    <row r="17" customFormat="false" ht="19.5" hidden="false" customHeight="true" outlineLevel="0" collapsed="false">
      <c r="A17" s="26" t="s">
        <v>26</v>
      </c>
      <c r="B17" s="11"/>
      <c r="C17" s="11"/>
      <c r="D17" s="20" t="n">
        <v>45</v>
      </c>
      <c r="E17" s="33" t="s">
        <v>14</v>
      </c>
      <c r="F17" s="17" t="n">
        <v>2</v>
      </c>
      <c r="G17" s="17" t="s">
        <v>24</v>
      </c>
      <c r="H17" s="31" t="s">
        <v>25</v>
      </c>
      <c r="I17" s="17" t="s">
        <v>15</v>
      </c>
      <c r="J17" s="34" t="str">
        <f aca="false">IF(H17="N","",D17*F17+H17)</f>
        <v/>
      </c>
      <c r="K17" s="17" t="s">
        <v>18</v>
      </c>
      <c r="L17" s="17" t="n">
        <v>3</v>
      </c>
      <c r="M17" s="17" t="s">
        <v>15</v>
      </c>
      <c r="N17" s="27" t="n">
        <f aca="false">ROUND(IF(H17="N",D17,J17/L17),0)</f>
        <v>45</v>
      </c>
      <c r="O17" s="17" t="s">
        <v>14</v>
      </c>
      <c r="P17" s="17" t="n">
        <v>10</v>
      </c>
      <c r="Q17" s="17" t="s">
        <v>15</v>
      </c>
      <c r="R17" s="27" t="n">
        <f aca="false">N17*10</f>
        <v>450</v>
      </c>
      <c r="S17" s="18"/>
      <c r="T17" s="18"/>
      <c r="U17" s="27" t="n">
        <f aca="false">N17</f>
        <v>45</v>
      </c>
      <c r="V17" s="18"/>
      <c r="W17" s="29" t="n">
        <f aca="false">IF(U17&gt;=92,1,IF(U17&gt;=81,2,IF(U17&gt;=67,3,IF(U17&gt;=50,4,IF(U17&gt;=30,5,6)))))</f>
        <v>5</v>
      </c>
    </row>
    <row r="18" customFormat="false" ht="19.5" hidden="false" customHeight="true" outlineLevel="0" collapsed="false">
      <c r="A18" s="19" t="s">
        <v>27</v>
      </c>
      <c r="D18" s="20" t="n">
        <v>60</v>
      </c>
      <c r="E18" s="21" t="s">
        <v>14</v>
      </c>
      <c r="F18" s="23" t="n">
        <v>2</v>
      </c>
      <c r="G18" s="23" t="s">
        <v>24</v>
      </c>
      <c r="H18" s="31" t="s">
        <v>25</v>
      </c>
      <c r="I18" s="23" t="s">
        <v>15</v>
      </c>
      <c r="J18" s="32" t="str">
        <f aca="false">IF(H18="N","",D18*F18+H18)</f>
        <v/>
      </c>
      <c r="K18" s="23" t="s">
        <v>18</v>
      </c>
      <c r="L18" s="23" t="n">
        <v>3</v>
      </c>
      <c r="M18" s="23" t="s">
        <v>15</v>
      </c>
      <c r="N18" s="22" t="n">
        <f aca="false">ROUND(IF(H18="N",D18,J18/L18),0)</f>
        <v>60</v>
      </c>
      <c r="O18" s="23" t="s">
        <v>14</v>
      </c>
      <c r="P18" s="23" t="n">
        <v>10</v>
      </c>
      <c r="Q18" s="23" t="s">
        <v>15</v>
      </c>
      <c r="R18" s="22" t="n">
        <f aca="false">N18*10</f>
        <v>600</v>
      </c>
      <c r="S18" s="24"/>
      <c r="T18" s="24"/>
      <c r="U18" s="22" t="n">
        <f aca="false">N18</f>
        <v>60</v>
      </c>
      <c r="V18" s="24"/>
      <c r="W18" s="25" t="n">
        <f aca="false">IF(U18&gt;=92,1,IF(U18&gt;=81,2,IF(U18&gt;=67,3,IF(U18&gt;=50,4,IF(U18&gt;=30,5,6)))))</f>
        <v>4</v>
      </c>
    </row>
    <row r="19" customFormat="false" ht="19.5" hidden="false" customHeight="true" outlineLevel="0" collapsed="false">
      <c r="A19" s="11"/>
      <c r="B19" s="11"/>
      <c r="C19" s="11"/>
      <c r="D19" s="11"/>
      <c r="E19" s="12"/>
      <c r="F19" s="12"/>
      <c r="G19" s="12"/>
      <c r="H19" s="11"/>
      <c r="I19" s="11"/>
      <c r="J19" s="11"/>
      <c r="K19" s="11"/>
      <c r="L19" s="11"/>
      <c r="M19" s="11"/>
      <c r="N19" s="11"/>
      <c r="O19" s="12"/>
      <c r="P19" s="11"/>
      <c r="Q19" s="11"/>
      <c r="R19" s="11"/>
      <c r="S19" s="11"/>
      <c r="T19" s="11"/>
      <c r="U19" s="11"/>
      <c r="V19" s="11"/>
      <c r="W19" s="11"/>
    </row>
    <row r="20" customFormat="false" ht="19.5" hidden="false" customHeight="true" outlineLevel="0" collapsed="false">
      <c r="A20" s="19" t="s">
        <v>28</v>
      </c>
      <c r="D20" s="20" t="n">
        <v>80</v>
      </c>
      <c r="E20" s="21" t="s">
        <v>14</v>
      </c>
      <c r="F20" s="23" t="n">
        <v>50</v>
      </c>
      <c r="G20" s="2" t="s">
        <v>15</v>
      </c>
      <c r="H20" s="35" t="n">
        <f aca="false">D20*50</f>
        <v>4000</v>
      </c>
      <c r="O20" s="2"/>
    </row>
    <row r="21" customFormat="false" ht="19.5" hidden="false" customHeight="true" outlineLevel="0" collapsed="false">
      <c r="A21" s="26" t="s">
        <v>29</v>
      </c>
      <c r="B21" s="11"/>
      <c r="C21" s="11"/>
      <c r="D21" s="20" t="n">
        <v>70</v>
      </c>
      <c r="E21" s="33" t="s">
        <v>14</v>
      </c>
      <c r="F21" s="17" t="n">
        <v>50</v>
      </c>
      <c r="G21" s="12" t="s">
        <v>15</v>
      </c>
      <c r="H21" s="36" t="n">
        <f aca="false">D21*50</f>
        <v>3500</v>
      </c>
      <c r="I21" s="11"/>
      <c r="J21" s="11"/>
      <c r="K21" s="11"/>
      <c r="L21" s="11"/>
      <c r="M21" s="11"/>
      <c r="N21" s="11"/>
      <c r="O21" s="12"/>
      <c r="P21" s="11"/>
      <c r="Q21" s="11"/>
      <c r="R21" s="11"/>
      <c r="S21" s="11"/>
      <c r="T21" s="11"/>
      <c r="U21" s="11"/>
      <c r="V21" s="11"/>
      <c r="W21" s="11"/>
    </row>
    <row r="22" customFormat="false" ht="19.5" hidden="false" customHeight="true" outlineLevel="0" collapsed="false">
      <c r="A22" s="19" t="s">
        <v>30</v>
      </c>
      <c r="D22" s="37" t="s">
        <v>31</v>
      </c>
      <c r="E22" s="37"/>
      <c r="F22" s="37"/>
      <c r="H22" s="38" t="n">
        <f aca="false">H21+H20</f>
        <v>7500</v>
      </c>
      <c r="I22" s="23" t="s">
        <v>18</v>
      </c>
      <c r="J22" s="39" t="n">
        <v>100</v>
      </c>
      <c r="M22" s="23" t="s">
        <v>15</v>
      </c>
      <c r="N22" s="40" t="n">
        <f aca="false">ROUND(H22/100,0)</f>
        <v>75</v>
      </c>
      <c r="O22" s="23" t="s">
        <v>14</v>
      </c>
      <c r="P22" s="23" t="n">
        <v>50</v>
      </c>
      <c r="Q22" s="23" t="s">
        <v>15</v>
      </c>
      <c r="R22" s="32" t="n">
        <f aca="false">N22*50</f>
        <v>3750</v>
      </c>
      <c r="U22" s="32" t="n">
        <f aca="false">N22</f>
        <v>75</v>
      </c>
      <c r="W22" s="41" t="n">
        <f aca="false">IF(U22&gt;=92,1,IF(U22&gt;=81,2,IF(U22&gt;=67,3,IF(U22&gt;=50,4,IF(U22&gt;=30,5,6)))))</f>
        <v>3</v>
      </c>
    </row>
    <row r="23" customFormat="false" ht="19.5" hidden="false" customHeight="true" outlineLevel="0" collapsed="false">
      <c r="A23" s="26" t="s">
        <v>32</v>
      </c>
      <c r="B23" s="11"/>
      <c r="C23" s="11"/>
      <c r="D23" s="11"/>
      <c r="E23" s="12"/>
      <c r="F23" s="12"/>
      <c r="G23" s="12"/>
      <c r="H23" s="11"/>
      <c r="I23" s="11"/>
      <c r="J23" s="11"/>
      <c r="K23" s="11"/>
      <c r="L23" s="11"/>
      <c r="M23" s="11"/>
      <c r="N23" s="18" t="s">
        <v>33</v>
      </c>
      <c r="O23" s="18"/>
      <c r="P23" s="18"/>
      <c r="Q23" s="18"/>
      <c r="R23" s="42" t="n">
        <f aca="false">R22+R18+R17+R16</f>
        <v>5250</v>
      </c>
      <c r="S23" s="17" t="s">
        <v>18</v>
      </c>
      <c r="T23" s="17" t="n">
        <v>80</v>
      </c>
      <c r="U23" s="42" t="n">
        <f aca="false">ROUND(R23/80,0)</f>
        <v>66</v>
      </c>
      <c r="V23" s="18"/>
      <c r="W23" s="43" t="n">
        <f aca="false">IF(U23&gt;=92,1,IF(U23&gt;=81,2,IF(U23&gt;=67,3,IF(U23&gt;=50,4,IF(U23&gt;=30,5,6)))))</f>
        <v>4</v>
      </c>
    </row>
    <row r="24" customFormat="false" ht="19.5" hidden="false" customHeight="true" outlineLevel="0" collapsed="false"/>
    <row r="25" customFormat="false" ht="19.5" hidden="false" customHeight="true" outlineLevel="0" collapsed="false">
      <c r="A25" s="26" t="s">
        <v>34</v>
      </c>
      <c r="B25" s="11"/>
      <c r="C25" s="11"/>
      <c r="D25" s="18" t="s">
        <v>35</v>
      </c>
      <c r="E25" s="17"/>
      <c r="F25" s="17"/>
      <c r="G25" s="17"/>
      <c r="H25" s="27" t="n">
        <f aca="false">H13</f>
        <v>1200</v>
      </c>
      <c r="I25" s="18" t="s">
        <v>24</v>
      </c>
      <c r="J25" s="18"/>
      <c r="K25" s="18"/>
      <c r="L25" s="18"/>
      <c r="M25" s="18"/>
      <c r="N25" s="18" t="s">
        <v>33</v>
      </c>
      <c r="O25" s="18"/>
      <c r="P25" s="18"/>
      <c r="Q25" s="18"/>
      <c r="R25" s="34" t="n">
        <f aca="false">R23</f>
        <v>5250</v>
      </c>
      <c r="S25" s="17" t="s">
        <v>36</v>
      </c>
      <c r="T25" s="17" t="n">
        <v>100</v>
      </c>
      <c r="U25" s="34" t="n">
        <f aca="false">ROUND((H25+R25)/100,0)</f>
        <v>65</v>
      </c>
      <c r="V25" s="18"/>
      <c r="W25" s="44" t="n">
        <f aca="false">IF(U25&gt;=92,1,IF(U25&gt;=81,2,IF(U25&gt;=67,3,IF(U25&gt;=50,4,IF(U25&gt;=30,5,6)))))</f>
        <v>4</v>
      </c>
    </row>
    <row r="26" customFormat="false" ht="19.5" hidden="false" customHeight="true" outlineLevel="0" collapsed="false"/>
    <row r="27" customFormat="false" ht="19.5" hidden="false" customHeight="true" outlineLevel="0" collapsed="false">
      <c r="A27" s="45" t="s">
        <v>37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</row>
    <row r="29" customFormat="false" ht="15" hidden="false" customHeight="false" outlineLevel="0" collapsed="false">
      <c r="A29" s="46" t="s">
        <v>38</v>
      </c>
      <c r="B29" s="46"/>
      <c r="C29" s="46" t="s">
        <v>39</v>
      </c>
      <c r="D29" s="46"/>
      <c r="E29" s="47" t="s">
        <v>40</v>
      </c>
      <c r="G29" s="48"/>
      <c r="H29" s="46"/>
      <c r="I29" s="46"/>
      <c r="J29" s="46" t="s">
        <v>41</v>
      </c>
      <c r="K29" s="46"/>
      <c r="M29" s="46"/>
      <c r="N29" s="46"/>
      <c r="O29" s="46" t="s">
        <v>42</v>
      </c>
      <c r="P29" s="46"/>
      <c r="Q29" s="46"/>
      <c r="S29" s="46"/>
      <c r="T29" s="46" t="s">
        <v>43</v>
      </c>
      <c r="U29" s="46"/>
      <c r="V29" s="46"/>
      <c r="W29" s="46"/>
    </row>
    <row r="30" customFormat="false" ht="15" hidden="false" customHeight="false" outlineLevel="0" collapsed="false">
      <c r="A30" s="46" t="s">
        <v>44</v>
      </c>
      <c r="B30" s="46"/>
      <c r="C30" s="46" t="s">
        <v>45</v>
      </c>
      <c r="D30" s="46"/>
      <c r="E30" s="47" t="s">
        <v>46</v>
      </c>
      <c r="G30" s="48"/>
      <c r="H30" s="46"/>
      <c r="I30" s="46"/>
      <c r="J30" s="46" t="s">
        <v>47</v>
      </c>
      <c r="K30" s="46"/>
      <c r="M30" s="46"/>
      <c r="N30" s="46"/>
      <c r="O30" s="46" t="s">
        <v>48</v>
      </c>
      <c r="P30" s="46"/>
      <c r="Q30" s="46"/>
      <c r="S30" s="46"/>
      <c r="T30" s="46" t="s">
        <v>49</v>
      </c>
      <c r="U30" s="46"/>
      <c r="V30" s="46"/>
      <c r="W30" s="46"/>
    </row>
    <row r="32" customFormat="false" ht="15" hidden="false" customHeight="false" outlineLevel="0" collapsed="false">
      <c r="C32" s="49"/>
    </row>
  </sheetData>
  <mergeCells count="8">
    <mergeCell ref="A1:W2"/>
    <mergeCell ref="A3:W4"/>
    <mergeCell ref="B5:G5"/>
    <mergeCell ref="O5:U5"/>
    <mergeCell ref="C7:G7"/>
    <mergeCell ref="O7:U7"/>
    <mergeCell ref="D22:F22"/>
    <mergeCell ref="A27:W27"/>
  </mergeCells>
  <conditionalFormatting sqref="U25">
    <cfRule type="cellIs" priority="2" operator="lessThan" aboveAverage="0" equalAverage="0" bottom="0" percent="0" rank="0" text="" dxfId="0">
      <formula>50</formula>
    </cfRule>
  </conditionalFormatting>
  <conditionalFormatting sqref="U22:U23">
    <cfRule type="cellIs" priority="3" operator="lessThan" aboveAverage="0" equalAverage="0" bottom="0" percent="0" rank="0" text="" dxfId="1">
      <formula>50</formula>
    </cfRule>
  </conditionalFormatting>
  <conditionalFormatting sqref="N22">
    <cfRule type="cellIs" priority="4" operator="lessThan" aboveAverage="0" equalAverage="0" bottom="0" percent="0" rank="0" text="" dxfId="2">
      <formula>50</formula>
    </cfRule>
  </conditionalFormatting>
  <conditionalFormatting sqref="U16:U18">
    <cfRule type="cellIs" priority="5" operator="lessThan" aboveAverage="0" equalAverage="0" bottom="0" percent="0" rank="0" text="" dxfId="3">
      <formula>50</formula>
    </cfRule>
  </conditionalFormatting>
  <conditionalFormatting sqref="U13">
    <cfRule type="cellIs" priority="6" operator="lessThan" aboveAverage="0" equalAverage="0" bottom="0" percent="0" rank="0" text="" dxfId="4">
      <formula>50</formula>
    </cfRule>
  </conditionalFormatting>
  <conditionalFormatting sqref="N16:N18">
    <cfRule type="cellIs" priority="7" operator="lessThan" aboveAverage="0" equalAverage="0" bottom="0" percent="0" rank="0" text="" dxfId="5">
      <formula>50</formula>
    </cfRule>
  </conditionalFormatting>
  <conditionalFormatting sqref="W12:W13 W16:W18 W22:W23 W25">
    <cfRule type="cellIs" priority="8" operator="greaterThan" aboveAverage="0" equalAverage="0" bottom="0" percent="0" rank="0" text="" dxfId="6">
      <formula>4</formula>
    </cfRule>
  </conditionalFormatting>
  <dataValidations count="1">
    <dataValidation allowBlank="true" errorStyle="stop" operator="between" showDropDown="false" showErrorMessage="false" showInputMessage="true" sqref="D12" type="whole">
      <formula1>0</formula1>
      <formula2>100</formula2>
    </dataValidation>
  </dataValidations>
  <printOptions headings="false" gridLines="false" gridLinesSet="true" horizontalCentered="false" verticalCentered="false"/>
  <pageMargins left="0.708333333333333" right="0.708333333333333" top="0.7875" bottom="0.7875" header="0.315277777777778" footer="0.511811023622047"/>
  <pageSetup paperSize="9" scale="68" fitToWidth="1" fitToHeight="1" pageOrder="downThenOver" orientation="portrait" blackAndWhite="false" draft="false" cellComments="none" horizontalDpi="300" verticalDpi="300" copies="1"/>
  <headerFooter differentFirst="false" differentOddEven="false">
    <oddHeader>&amp;C 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38"/>
  <sheetViews>
    <sheetView showFormulas="false" showGridLines="false" showRowColHeaders="true" showZeros="true" rightToLeft="false" tabSelected="false" showOutlineSymbols="true" defaultGridColor="true" view="normal" topLeftCell="A4" colorId="64" zoomScale="55" zoomScaleNormal="55" zoomScalePageLayoutView="100" workbookViewId="0">
      <selection pane="topLeft" activeCell="P30" activeCellId="1" sqref="H16:H18 P30"/>
    </sheetView>
  </sheetViews>
  <sheetFormatPr defaultColWidth="11.42578125" defaultRowHeight="15" zeroHeight="false" outlineLevelRow="0" outlineLevelCol="0"/>
  <cols>
    <col collapsed="false" customWidth="true" hidden="false" outlineLevel="0" max="1" min="1" style="50" width="25.14"/>
    <col collapsed="false" customWidth="false" hidden="false" outlineLevel="0" max="2" min="2" style="50" width="11.43"/>
    <col collapsed="false" customWidth="true" hidden="false" outlineLevel="0" max="3" min="3" style="50" width="12.86"/>
    <col collapsed="false" customWidth="false" hidden="false" outlineLevel="0" max="4" min="4" style="50" width="11.43"/>
    <col collapsed="false" customWidth="true" hidden="false" outlineLevel="0" max="5" min="5" style="50" width="26.15"/>
    <col collapsed="false" customWidth="false" hidden="false" outlineLevel="0" max="8" min="6" style="50" width="11.43"/>
    <col collapsed="false" customWidth="true" hidden="false" outlineLevel="0" max="9" min="9" style="50" width="34.14"/>
    <col collapsed="false" customWidth="false" hidden="false" outlineLevel="0" max="11" min="10" style="50" width="11.43"/>
    <col collapsed="false" customWidth="true" hidden="false" outlineLevel="0" max="12" min="12" style="50" width="13.86"/>
    <col collapsed="false" customWidth="false" hidden="false" outlineLevel="0" max="16384" min="13" style="50" width="11.43"/>
  </cols>
  <sheetData>
    <row r="2" s="52" customFormat="true" ht="30" hidden="false" customHeight="true" outlineLevel="0" collapsed="false">
      <c r="A2" s="51" t="s">
        <v>50</v>
      </c>
      <c r="B2" s="51"/>
      <c r="C2" s="51"/>
      <c r="D2" s="51"/>
      <c r="E2" s="51"/>
      <c r="F2" s="51"/>
      <c r="G2" s="51"/>
      <c r="H2" s="51"/>
      <c r="I2" s="51"/>
    </row>
    <row r="3" s="52" customFormat="true" ht="30" hidden="false" customHeight="true" outlineLevel="0" collapsed="false">
      <c r="A3" s="53"/>
      <c r="B3" s="53"/>
      <c r="C3" s="53"/>
      <c r="D3" s="53"/>
      <c r="E3" s="53"/>
      <c r="F3" s="53"/>
      <c r="G3" s="53"/>
      <c r="H3" s="53"/>
      <c r="I3" s="53"/>
    </row>
    <row r="4" s="52" customFormat="true" ht="20.25" hidden="false" customHeight="true" outlineLevel="0" collapsed="false">
      <c r="A4" s="54" t="s">
        <v>1</v>
      </c>
      <c r="B4" s="55" t="n">
        <f aca="false">Gesamtbewertung!B5</f>
        <v>0</v>
      </c>
      <c r="C4" s="55"/>
      <c r="D4" s="55"/>
      <c r="E4" s="53"/>
      <c r="F4" s="56" t="s">
        <v>4</v>
      </c>
      <c r="G4" s="56"/>
      <c r="H4" s="55" t="n">
        <f aca="false">Gesamtbewertung!O7</f>
        <v>0</v>
      </c>
      <c r="I4" s="55"/>
    </row>
    <row r="6" customFormat="false" ht="15" hidden="false" customHeight="false" outlineLevel="0" collapsed="false">
      <c r="F6" s="57" t="s">
        <v>8</v>
      </c>
      <c r="G6" s="58" t="s">
        <v>51</v>
      </c>
      <c r="H6" s="58" t="s">
        <v>52</v>
      </c>
      <c r="I6" s="59" t="s">
        <v>53</v>
      </c>
    </row>
    <row r="7" customFormat="false" ht="34.5" hidden="false" customHeight="true" outlineLevel="0" collapsed="false">
      <c r="A7" s="60" t="s">
        <v>54</v>
      </c>
      <c r="B7" s="61" t="s">
        <v>55</v>
      </c>
      <c r="C7" s="62" t="s">
        <v>56</v>
      </c>
      <c r="D7" s="58" t="s">
        <v>57</v>
      </c>
      <c r="E7" s="63" t="s">
        <v>58</v>
      </c>
      <c r="F7" s="64"/>
      <c r="G7" s="65" t="n">
        <v>0.6</v>
      </c>
      <c r="H7" s="66" t="n">
        <f aca="false">F7*G7</f>
        <v>0</v>
      </c>
      <c r="I7" s="67"/>
    </row>
    <row r="8" customFormat="false" ht="34.5" hidden="false" customHeight="true" outlineLevel="0" collapsed="false">
      <c r="A8" s="60"/>
      <c r="B8" s="61"/>
      <c r="C8" s="62"/>
      <c r="D8" s="58"/>
      <c r="E8" s="63" t="s">
        <v>59</v>
      </c>
      <c r="F8" s="64"/>
      <c r="G8" s="65" t="n">
        <v>1</v>
      </c>
      <c r="H8" s="66" t="n">
        <f aca="false">F8*G8</f>
        <v>0</v>
      </c>
      <c r="I8" s="67"/>
    </row>
    <row r="9" customFormat="false" ht="34.5" hidden="false" customHeight="true" outlineLevel="0" collapsed="false">
      <c r="A9" s="60"/>
      <c r="B9" s="61"/>
      <c r="C9" s="62"/>
      <c r="D9" s="58" t="s">
        <v>60</v>
      </c>
      <c r="E9" s="63" t="s">
        <v>61</v>
      </c>
      <c r="F9" s="64"/>
      <c r="G9" s="65" t="n">
        <v>0.4</v>
      </c>
      <c r="H9" s="66" t="n">
        <f aca="false">F9*G9</f>
        <v>0</v>
      </c>
      <c r="I9" s="67"/>
    </row>
    <row r="10" customFormat="false" ht="34.5" hidden="false" customHeight="true" outlineLevel="0" collapsed="false">
      <c r="A10" s="60"/>
      <c r="B10" s="61"/>
      <c r="C10" s="68" t="s">
        <v>62</v>
      </c>
      <c r="D10" s="68"/>
      <c r="E10" s="63" t="s">
        <v>63</v>
      </c>
      <c r="F10" s="64"/>
      <c r="G10" s="65" t="n">
        <v>1</v>
      </c>
      <c r="H10" s="66" t="n">
        <f aca="false">F10*G10</f>
        <v>0</v>
      </c>
      <c r="I10" s="67"/>
    </row>
    <row r="11" customFormat="false" ht="34.5" hidden="false" customHeight="true" outlineLevel="0" collapsed="false">
      <c r="A11" s="60"/>
      <c r="B11" s="61"/>
      <c r="C11" s="68" t="s">
        <v>64</v>
      </c>
      <c r="D11" s="68"/>
      <c r="E11" s="63" t="s">
        <v>65</v>
      </c>
      <c r="F11" s="64"/>
      <c r="G11" s="65" t="n">
        <v>4</v>
      </c>
      <c r="H11" s="66" t="n">
        <f aca="false">F11*G11</f>
        <v>0</v>
      </c>
      <c r="I11" s="67"/>
    </row>
    <row r="12" customFormat="false" ht="34.5" hidden="false" customHeight="true" outlineLevel="0" collapsed="false">
      <c r="A12" s="60"/>
      <c r="B12" s="61"/>
      <c r="C12" s="68" t="s">
        <v>66</v>
      </c>
      <c r="D12" s="68"/>
      <c r="E12" s="63" t="s">
        <v>67</v>
      </c>
      <c r="F12" s="64"/>
      <c r="G12" s="65" t="n">
        <v>2</v>
      </c>
      <c r="H12" s="66" t="n">
        <f aca="false">F12*G12</f>
        <v>0</v>
      </c>
      <c r="I12" s="69"/>
    </row>
    <row r="13" customFormat="false" ht="34.5" hidden="false" customHeight="true" outlineLevel="0" collapsed="false">
      <c r="A13" s="60"/>
      <c r="B13" s="58"/>
      <c r="C13" s="68" t="s">
        <v>68</v>
      </c>
      <c r="D13" s="68"/>
      <c r="E13" s="63" t="s">
        <v>69</v>
      </c>
      <c r="F13" s="64"/>
      <c r="G13" s="65" t="n">
        <v>1</v>
      </c>
      <c r="H13" s="66" t="n">
        <f aca="false">F13*G13</f>
        <v>0</v>
      </c>
      <c r="I13" s="67"/>
      <c r="J13" s="70" t="s">
        <v>31</v>
      </c>
      <c r="K13" s="71" t="s">
        <v>51</v>
      </c>
      <c r="L13" s="71" t="s">
        <v>52</v>
      </c>
    </row>
    <row r="14" customFormat="false" ht="34.5" hidden="false" customHeight="true" outlineLevel="0" collapsed="false">
      <c r="A14" s="72"/>
      <c r="B14" s="73"/>
      <c r="C14" s="74"/>
      <c r="D14" s="74"/>
      <c r="E14" s="75"/>
      <c r="F14" s="76"/>
      <c r="G14" s="76"/>
      <c r="H14" s="77"/>
      <c r="I14" s="78"/>
      <c r="J14" s="79"/>
      <c r="K14" s="80"/>
      <c r="L14" s="73"/>
    </row>
    <row r="15" customFormat="false" ht="34.5" hidden="false" customHeight="true" outlineLevel="0" collapsed="false">
      <c r="A15" s="81"/>
      <c r="B15" s="81"/>
      <c r="C15" s="81"/>
      <c r="D15" s="81"/>
      <c r="E15" s="81"/>
      <c r="F15" s="82"/>
      <c r="G15" s="82"/>
      <c r="H15" s="83"/>
      <c r="I15" s="84" t="s">
        <v>54</v>
      </c>
      <c r="J15" s="85" t="n">
        <f aca="false">SUM(H7:H13)</f>
        <v>0</v>
      </c>
      <c r="K15" s="86" t="n">
        <v>0.5</v>
      </c>
      <c r="L15" s="87" t="n">
        <f aca="false">J15*K15</f>
        <v>0</v>
      </c>
    </row>
    <row r="16" customFormat="false" ht="19.5" hidden="false" customHeight="true" outlineLevel="0" collapsed="false">
      <c r="A16" s="81"/>
      <c r="B16" s="81"/>
      <c r="C16" s="81"/>
      <c r="D16" s="81"/>
      <c r="E16" s="81"/>
      <c r="F16" s="88"/>
      <c r="G16" s="88"/>
      <c r="H16" s="89"/>
    </row>
    <row r="18" customFormat="false" ht="15" hidden="false" customHeight="false" outlineLevel="0" collapsed="false">
      <c r="F18" s="57" t="s">
        <v>8</v>
      </c>
      <c r="G18" s="58" t="s">
        <v>51</v>
      </c>
      <c r="H18" s="58" t="s">
        <v>52</v>
      </c>
      <c r="I18" s="59" t="s">
        <v>53</v>
      </c>
    </row>
    <row r="19" customFormat="false" ht="34.5" hidden="false" customHeight="true" outlineLevel="0" collapsed="false">
      <c r="A19" s="90" t="s">
        <v>70</v>
      </c>
      <c r="B19" s="91"/>
      <c r="C19" s="91"/>
      <c r="D19" s="91"/>
      <c r="E19" s="92" t="s">
        <v>71</v>
      </c>
      <c r="F19" s="64"/>
      <c r="G19" s="65" t="n">
        <v>3</v>
      </c>
      <c r="H19" s="66" t="n">
        <f aca="false">F19*G19</f>
        <v>0</v>
      </c>
      <c r="I19" s="67"/>
    </row>
    <row r="20" customFormat="false" ht="34.5" hidden="false" customHeight="true" outlineLevel="0" collapsed="false">
      <c r="A20" s="90"/>
      <c r="B20" s="91"/>
      <c r="C20" s="91"/>
      <c r="D20" s="91"/>
      <c r="E20" s="92" t="s">
        <v>72</v>
      </c>
      <c r="F20" s="64"/>
      <c r="G20" s="65" t="n">
        <v>3</v>
      </c>
      <c r="H20" s="66" t="n">
        <f aca="false">F20*G20</f>
        <v>0</v>
      </c>
      <c r="I20" s="67"/>
    </row>
    <row r="21" customFormat="false" ht="34.5" hidden="false" customHeight="true" outlineLevel="0" collapsed="false">
      <c r="A21" s="90"/>
      <c r="B21" s="91"/>
      <c r="C21" s="91"/>
      <c r="D21" s="91"/>
      <c r="E21" s="92" t="s">
        <v>73</v>
      </c>
      <c r="F21" s="64"/>
      <c r="G21" s="65" t="n">
        <v>1.5</v>
      </c>
      <c r="H21" s="66" t="n">
        <f aca="false">F21*G21</f>
        <v>0</v>
      </c>
      <c r="I21" s="67"/>
    </row>
    <row r="22" customFormat="false" ht="34.5" hidden="false" customHeight="true" outlineLevel="0" collapsed="false">
      <c r="A22" s="90"/>
      <c r="B22" s="91"/>
      <c r="C22" s="91"/>
      <c r="D22" s="91"/>
      <c r="E22" s="92" t="s">
        <v>74</v>
      </c>
      <c r="F22" s="64"/>
      <c r="G22" s="65" t="n">
        <v>2.5</v>
      </c>
      <c r="H22" s="66" t="n">
        <f aca="false">F22*G22</f>
        <v>0</v>
      </c>
      <c r="I22" s="67"/>
      <c r="J22" s="71" t="s">
        <v>31</v>
      </c>
      <c r="K22" s="71" t="s">
        <v>51</v>
      </c>
      <c r="L22" s="71" t="s">
        <v>52</v>
      </c>
    </row>
    <row r="23" customFormat="false" ht="34.5" hidden="false" customHeight="true" outlineLevel="0" collapsed="false">
      <c r="A23" s="72"/>
      <c r="B23" s="93"/>
      <c r="C23" s="93"/>
      <c r="D23" s="93"/>
      <c r="E23" s="75"/>
      <c r="F23" s="76"/>
      <c r="G23" s="76"/>
      <c r="H23" s="77"/>
      <c r="I23" s="78"/>
      <c r="J23" s="94"/>
      <c r="K23" s="80"/>
      <c r="L23" s="73"/>
    </row>
    <row r="24" customFormat="false" ht="34.5" hidden="false" customHeight="true" outlineLevel="0" collapsed="false">
      <c r="A24" s="81"/>
      <c r="B24" s="81"/>
      <c r="C24" s="81"/>
      <c r="D24" s="81"/>
      <c r="E24" s="81"/>
      <c r="F24" s="82"/>
      <c r="G24" s="82"/>
      <c r="H24" s="83"/>
      <c r="I24" s="87" t="s">
        <v>70</v>
      </c>
      <c r="J24" s="95" t="n">
        <f aca="false">SUM(H19:H22)</f>
        <v>0</v>
      </c>
      <c r="K24" s="87" t="n">
        <v>0.25</v>
      </c>
      <c r="L24" s="87" t="n">
        <f aca="false">J24*K24</f>
        <v>0</v>
      </c>
    </row>
    <row r="25" customFormat="false" ht="19.5" hidden="false" customHeight="true" outlineLevel="0" collapsed="false">
      <c r="A25" s="81"/>
      <c r="B25" s="81"/>
      <c r="C25" s="81"/>
      <c r="D25" s="81"/>
      <c r="E25" s="81"/>
      <c r="F25" s="88"/>
      <c r="G25" s="88"/>
      <c r="H25" s="89"/>
    </row>
    <row r="27" customFormat="false" ht="15" hidden="false" customHeight="false" outlineLevel="0" collapsed="false">
      <c r="F27" s="57" t="s">
        <v>8</v>
      </c>
      <c r="G27" s="58" t="s">
        <v>51</v>
      </c>
      <c r="H27" s="58" t="s">
        <v>52</v>
      </c>
      <c r="I27" s="59" t="s">
        <v>53</v>
      </c>
    </row>
    <row r="28" customFormat="false" ht="34.5" hidden="false" customHeight="true" outlineLevel="0" collapsed="false">
      <c r="A28" s="90" t="s">
        <v>75</v>
      </c>
      <c r="B28" s="91"/>
      <c r="C28" s="91"/>
      <c r="D28" s="91"/>
      <c r="E28" s="92" t="s">
        <v>76</v>
      </c>
      <c r="F28" s="64"/>
      <c r="G28" s="65" t="n">
        <v>1</v>
      </c>
      <c r="H28" s="66" t="n">
        <f aca="false">F28*G28</f>
        <v>0</v>
      </c>
      <c r="I28" s="67"/>
    </row>
    <row r="29" customFormat="false" ht="34.5" hidden="false" customHeight="true" outlineLevel="0" collapsed="false">
      <c r="A29" s="90"/>
      <c r="B29" s="91"/>
      <c r="C29" s="91"/>
      <c r="D29" s="91"/>
      <c r="E29" s="92" t="s">
        <v>77</v>
      </c>
      <c r="F29" s="64"/>
      <c r="G29" s="65" t="n">
        <v>3</v>
      </c>
      <c r="H29" s="66" t="n">
        <f aca="false">F29*G29</f>
        <v>0</v>
      </c>
      <c r="I29" s="67"/>
    </row>
    <row r="30" customFormat="false" ht="34.5" hidden="false" customHeight="true" outlineLevel="0" collapsed="false">
      <c r="A30" s="90"/>
      <c r="B30" s="91"/>
      <c r="C30" s="91"/>
      <c r="D30" s="91"/>
      <c r="E30" s="92" t="s">
        <v>78</v>
      </c>
      <c r="F30" s="64"/>
      <c r="G30" s="65" t="n">
        <v>3</v>
      </c>
      <c r="H30" s="66" t="n">
        <f aca="false">F30*G30</f>
        <v>0</v>
      </c>
      <c r="I30" s="67"/>
    </row>
    <row r="31" customFormat="false" ht="34.5" hidden="false" customHeight="true" outlineLevel="0" collapsed="false">
      <c r="A31" s="90"/>
      <c r="B31" s="91"/>
      <c r="C31" s="91"/>
      <c r="D31" s="91"/>
      <c r="E31" s="92" t="s">
        <v>79</v>
      </c>
      <c r="F31" s="64"/>
      <c r="G31" s="65" t="n">
        <v>3</v>
      </c>
      <c r="H31" s="66" t="n">
        <f aca="false">F31*G31</f>
        <v>0</v>
      </c>
      <c r="I31" s="67"/>
      <c r="J31" s="58" t="s">
        <v>31</v>
      </c>
      <c r="K31" s="58" t="s">
        <v>51</v>
      </c>
      <c r="L31" s="58" t="s">
        <v>52</v>
      </c>
    </row>
    <row r="32" customFormat="false" ht="34.5" hidden="false" customHeight="true" outlineLevel="0" collapsed="false">
      <c r="A32" s="72"/>
      <c r="B32" s="93"/>
      <c r="C32" s="93"/>
      <c r="D32" s="93"/>
      <c r="E32" s="75"/>
      <c r="F32" s="76"/>
      <c r="G32" s="76"/>
      <c r="H32" s="77"/>
      <c r="I32" s="78"/>
      <c r="J32" s="94"/>
      <c r="K32" s="80"/>
      <c r="L32" s="73"/>
    </row>
    <row r="33" customFormat="false" ht="34.5" hidden="false" customHeight="true" outlineLevel="0" collapsed="false">
      <c r="A33" s="81"/>
      <c r="B33" s="81"/>
      <c r="C33" s="81"/>
      <c r="D33" s="81"/>
      <c r="E33" s="81"/>
      <c r="F33" s="96"/>
      <c r="G33" s="96"/>
      <c r="H33" s="97"/>
      <c r="I33" s="87" t="s">
        <v>75</v>
      </c>
      <c r="J33" s="95" t="n">
        <f aca="false">SUM(H28:H31)</f>
        <v>0</v>
      </c>
      <c r="K33" s="87" t="n">
        <v>0.25</v>
      </c>
      <c r="L33" s="87" t="n">
        <f aca="false">J33*K33</f>
        <v>0</v>
      </c>
    </row>
    <row r="34" customFormat="false" ht="24.75" hidden="false" customHeight="true" outlineLevel="0" collapsed="false">
      <c r="A34" s="81"/>
      <c r="B34" s="81"/>
      <c r="C34" s="81"/>
      <c r="D34" s="81"/>
      <c r="E34" s="81"/>
      <c r="F34" s="96"/>
      <c r="G34" s="96"/>
      <c r="H34" s="97"/>
      <c r="I34" s="98"/>
      <c r="J34" s="99"/>
      <c r="K34" s="98"/>
      <c r="L34" s="98"/>
    </row>
    <row r="35" customFormat="false" ht="34.5" hidden="false" customHeight="true" outlineLevel="0" collapsed="false">
      <c r="B35" s="81"/>
      <c r="C35" s="81"/>
      <c r="D35" s="81"/>
      <c r="E35" s="100" t="s">
        <v>80</v>
      </c>
      <c r="F35" s="101" t="n">
        <f aca="false">J24</f>
        <v>0</v>
      </c>
      <c r="G35" s="102" t="s">
        <v>24</v>
      </c>
      <c r="H35" s="101" t="n">
        <f aca="false">J33</f>
        <v>0</v>
      </c>
      <c r="I35" s="103" t="s">
        <v>81</v>
      </c>
      <c r="J35" s="104" t="n">
        <f aca="false">ROUND((J24+J33)/2,0)</f>
        <v>0</v>
      </c>
      <c r="K35" s="103" t="s">
        <v>82</v>
      </c>
      <c r="L35" s="81"/>
    </row>
    <row r="36" customFormat="false" ht="19.5" hidden="false" customHeight="true" outlineLevel="0" collapsed="false">
      <c r="A36" s="81"/>
      <c r="B36" s="81"/>
      <c r="C36" s="81"/>
      <c r="D36" s="81"/>
      <c r="E36" s="81"/>
      <c r="F36" s="105"/>
      <c r="G36" s="105"/>
      <c r="H36" s="106"/>
    </row>
    <row r="37" customFormat="false" ht="34.5" hidden="false" customHeight="true" outlineLevel="0" collapsed="false">
      <c r="I37" s="107" t="s">
        <v>34</v>
      </c>
      <c r="J37" s="108"/>
      <c r="K37" s="108"/>
      <c r="L37" s="109" t="n">
        <f aca="false">L33+L24+L15</f>
        <v>0</v>
      </c>
    </row>
    <row r="38" customFormat="false" ht="34.5" hidden="false" customHeight="true" outlineLevel="0" collapsed="false">
      <c r="I38" s="110" t="s">
        <v>12</v>
      </c>
      <c r="J38" s="111"/>
      <c r="K38" s="111"/>
      <c r="L38" s="112" t="n">
        <f aca="false">IF(L37&gt;=92,1,IF(L37&gt;=81,2,IF(L37&gt;=67,3,IF(L37&gt;=50,4,IF(L37&gt;=30,5,6)))))</f>
        <v>6</v>
      </c>
    </row>
  </sheetData>
  <mergeCells count="23">
    <mergeCell ref="A2:I2"/>
    <mergeCell ref="B4:D4"/>
    <mergeCell ref="F4:G4"/>
    <mergeCell ref="H4:I4"/>
    <mergeCell ref="A7:A13"/>
    <mergeCell ref="B7:B12"/>
    <mergeCell ref="C7:C9"/>
    <mergeCell ref="D7:D8"/>
    <mergeCell ref="C10:D10"/>
    <mergeCell ref="C11:D11"/>
    <mergeCell ref="C12:D12"/>
    <mergeCell ref="F15:G15"/>
    <mergeCell ref="F16:G16"/>
    <mergeCell ref="A19:A22"/>
    <mergeCell ref="B19:D22"/>
    <mergeCell ref="F24:G24"/>
    <mergeCell ref="F25:G25"/>
    <mergeCell ref="A28:A31"/>
    <mergeCell ref="B28:D31"/>
    <mergeCell ref="F33:G33"/>
    <mergeCell ref="F36:G36"/>
    <mergeCell ref="J37:K37"/>
    <mergeCell ref="J38:K38"/>
  </mergeCells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5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3274A1F3-3FED-4BC4-AD23-5A80E21B66D0}">
            <x14:iconSet iconSet="3Symbols2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11</xm:f>
              </x14:cfvo>
              <x14:cfIcon iconSet="3Symbols2" iconId="1"/>
              <x14:cfIcon iconSet="NoIcons" iconId="0"/>
              <x14:cfIcon iconSet="3Symbols2" iconId="1"/>
            </x14:iconSet>
          </x14:cfRule>
          <xm:sqref>F7:F13</xm:sqref>
        </x14:conditionalFormatting>
        <x14:conditionalFormatting xmlns:xm="http://schemas.microsoft.com/office/excel/2006/main">
          <x14:cfRule type="iconSet" priority="3" id="{C5AE921B-479D-40DC-A134-3574401A595C}">
            <x14:iconSet iconSet="3Symbols2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11</xm:f>
              </x14:cfvo>
              <x14:cfIcon iconSet="3Symbols2" iconId="1"/>
              <x14:cfIcon iconSet="NoIcons" iconId="0"/>
              <x14:cfIcon iconSet="3Symbols2" iconId="1"/>
            </x14:iconSet>
          </x14:cfRule>
          <xm:sqref>F19:F22</xm:sqref>
        </x14:conditionalFormatting>
        <x14:conditionalFormatting xmlns:xm="http://schemas.microsoft.com/office/excel/2006/main">
          <x14:cfRule type="iconSet" priority="4" id="{9ADE638B-4BF1-4129-92E9-57A6707D7769}">
            <x14:iconSet iconSet="3Symbols2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11</xm:f>
              </x14:cfvo>
              <x14:cfIcon iconSet="3Symbols2" iconId="1"/>
              <x14:cfIcon iconSet="NoIcons" iconId="0"/>
              <x14:cfIcon iconSet="3Symbols2" iconId="1"/>
            </x14:iconSet>
          </x14:cfRule>
          <xm:sqref>F28:F31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15" activeCellId="1" sqref="H16:H18 E15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36.29"/>
    <col collapsed="false" customWidth="true" hidden="false" outlineLevel="0" max="2" min="2" style="0" width="25.14"/>
    <col collapsed="false" customWidth="true" hidden="false" outlineLevel="0" max="4" min="3" style="0" width="29.86"/>
    <col collapsed="false" customWidth="true" hidden="false" outlineLevel="0" max="5" min="5" style="0" width="38"/>
    <col collapsed="false" customWidth="true" hidden="false" outlineLevel="0" max="6" min="6" style="0" width="33.57"/>
    <col collapsed="false" customWidth="true" hidden="false" outlineLevel="0" max="7" min="7" style="0" width="22.71"/>
  </cols>
  <sheetData>
    <row r="1" customFormat="false" ht="15" hidden="false" customHeight="false" outlineLevel="0" collapsed="false">
      <c r="A1" s="113" t="s">
        <v>83</v>
      </c>
      <c r="B1" s="114" t="s">
        <v>84</v>
      </c>
      <c r="C1" s="115" t="s">
        <v>85</v>
      </c>
      <c r="D1" s="115"/>
      <c r="E1" s="115"/>
      <c r="F1" s="115"/>
      <c r="G1" s="115"/>
    </row>
    <row r="2" customFormat="false" ht="15" hidden="false" customHeight="false" outlineLevel="0" collapsed="false">
      <c r="A2" s="113"/>
      <c r="B2" s="114"/>
      <c r="C2" s="115" t="s">
        <v>86</v>
      </c>
      <c r="D2" s="115"/>
      <c r="E2" s="115" t="s">
        <v>87</v>
      </c>
      <c r="F2" s="115"/>
      <c r="G2" s="115"/>
    </row>
    <row r="3" customFormat="false" ht="15" hidden="false" customHeight="false" outlineLevel="0" collapsed="false">
      <c r="A3" s="113"/>
      <c r="B3" s="114"/>
      <c r="C3" s="115" t="s">
        <v>88</v>
      </c>
      <c r="D3" s="115" t="s">
        <v>89</v>
      </c>
      <c r="E3" s="115" t="s">
        <v>90</v>
      </c>
      <c r="F3" s="115" t="s">
        <v>91</v>
      </c>
      <c r="G3" s="115" t="s">
        <v>92</v>
      </c>
    </row>
    <row r="4" customFormat="false" ht="22.35" hidden="false" customHeight="true" outlineLevel="0" collapsed="false">
      <c r="A4" s="116" t="s">
        <v>93</v>
      </c>
      <c r="B4" s="117" t="s">
        <v>13</v>
      </c>
      <c r="C4" s="118" t="s">
        <v>94</v>
      </c>
      <c r="D4" s="118"/>
      <c r="E4" s="119" t="s">
        <v>95</v>
      </c>
      <c r="F4" s="120" t="s">
        <v>96</v>
      </c>
      <c r="G4" s="119" t="s">
        <v>97</v>
      </c>
    </row>
    <row r="5" customFormat="false" ht="19.4" hidden="false" customHeight="true" outlineLevel="0" collapsed="false">
      <c r="A5" s="116" t="s">
        <v>98</v>
      </c>
      <c r="B5" s="117"/>
      <c r="C5" s="118" t="s">
        <v>99</v>
      </c>
      <c r="D5" s="118"/>
      <c r="E5" s="119" t="s">
        <v>100</v>
      </c>
      <c r="F5" s="119" t="s">
        <v>101</v>
      </c>
      <c r="G5" s="119" t="s">
        <v>97</v>
      </c>
    </row>
    <row r="6" customFormat="false" ht="15" hidden="false" customHeight="true" outlineLevel="0" collapsed="false">
      <c r="A6" s="116" t="s">
        <v>102</v>
      </c>
      <c r="B6" s="117"/>
      <c r="C6" s="118" t="s">
        <v>103</v>
      </c>
      <c r="D6" s="118"/>
      <c r="E6" s="120" t="s">
        <v>104</v>
      </c>
      <c r="F6" s="120" t="s">
        <v>105</v>
      </c>
      <c r="G6" s="119" t="s">
        <v>97</v>
      </c>
    </row>
    <row r="7" customFormat="false" ht="19.4" hidden="false" customHeight="true" outlineLevel="0" collapsed="false">
      <c r="A7" s="121" t="s">
        <v>106</v>
      </c>
      <c r="B7" s="117"/>
      <c r="C7" s="118" t="s">
        <v>107</v>
      </c>
      <c r="D7" s="118"/>
      <c r="E7" s="119" t="s">
        <v>108</v>
      </c>
      <c r="F7" s="119" t="s">
        <v>109</v>
      </c>
      <c r="G7" s="119" t="s">
        <v>97</v>
      </c>
    </row>
    <row r="8" customFormat="false" ht="28.35" hidden="false" customHeight="true" outlineLevel="0" collapsed="false">
      <c r="A8" s="116" t="s">
        <v>110</v>
      </c>
      <c r="B8" s="117"/>
      <c r="C8" s="118" t="s">
        <v>111</v>
      </c>
      <c r="D8" s="118"/>
      <c r="E8" s="119" t="s">
        <v>112</v>
      </c>
      <c r="F8" s="119" t="s">
        <v>113</v>
      </c>
      <c r="G8" s="119" t="s">
        <v>97</v>
      </c>
    </row>
    <row r="9" customFormat="false" ht="15" hidden="false" customHeight="false" outlineLevel="0" collapsed="false">
      <c r="A9" s="122" t="s">
        <v>114</v>
      </c>
      <c r="B9" s="117"/>
      <c r="C9" s="123" t="s">
        <v>115</v>
      </c>
      <c r="D9" s="123"/>
      <c r="E9" s="124" t="s">
        <v>116</v>
      </c>
      <c r="F9" s="124" t="s">
        <v>117</v>
      </c>
      <c r="G9" s="119" t="s">
        <v>97</v>
      </c>
    </row>
    <row r="10" customFormat="false" ht="15" hidden="false" customHeight="false" outlineLevel="0" collapsed="false">
      <c r="A10" s="122" t="s">
        <v>118</v>
      </c>
      <c r="B10" s="117"/>
      <c r="C10" s="123" t="s">
        <v>119</v>
      </c>
      <c r="D10" s="123"/>
      <c r="E10" s="124" t="s">
        <v>120</v>
      </c>
      <c r="F10" s="124" t="s">
        <v>117</v>
      </c>
      <c r="G10" s="124" t="s">
        <v>97</v>
      </c>
    </row>
  </sheetData>
  <mergeCells count="13">
    <mergeCell ref="A1:A3"/>
    <mergeCell ref="B1:B3"/>
    <mergeCell ref="C1:G1"/>
    <mergeCell ref="C2:D2"/>
    <mergeCell ref="E2:G2"/>
    <mergeCell ref="B4:B10"/>
    <mergeCell ref="C4:D4"/>
    <mergeCell ref="C5:D5"/>
    <mergeCell ref="C6:D6"/>
    <mergeCell ref="C7:D7"/>
    <mergeCell ref="C8:D8"/>
    <mergeCell ref="C9:D9"/>
    <mergeCell ref="C10:D10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2022-02-18T10:18:12Z</dcterms:created>
  <dc:creator>Michael Gutt</dc:creator>
  <dc:description/>
  <dc:language>de-DE</dc:language>
  <cp:lastModifiedBy>Gutt Michael</cp:lastModifiedBy>
  <cp:lastPrinted>2022-06-21T16:20:58Z</cp:lastPrinted>
  <dcterms:modified xsi:type="dcterms:W3CDTF">2026-04-20T12:30:14Z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